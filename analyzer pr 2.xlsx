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5035242-98E9-4B9A-A309-362AF4983CF7}" xr6:coauthVersionLast="47" xr6:coauthVersionMax="47" xr10:uidLastSave="{00000000-0000-0000-0000-000000000000}"/>
  <bookViews>
    <workbookView xWindow="-108" yWindow="-108" windowWidth="23256" windowHeight="12576" activeTab="1" xr2:uid="{0EE97511-E8B4-4AC9-B32D-C5FB28555964}"/>
  </bookViews>
  <sheets>
    <sheet name="Sheet1" sheetId="1" r:id="rId1"/>
    <sheet name="Sheet2" sheetId="2" r:id="rId2"/>
    <sheet name="null" sheetId="3" r:id="rId3"/>
  </sheets>
  <definedNames>
    <definedName name="_xlnm._FilterDatabase" localSheetId="0" hidden="1">Sheet1!$A$1:$G$9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A28" i="2"/>
  <c r="A27" i="2"/>
  <c r="A26" i="2"/>
  <c r="B61" i="1"/>
  <c r="B60" i="1"/>
  <c r="B59" i="1"/>
  <c r="B58" i="1"/>
  <c r="B51" i="1"/>
  <c r="B50" i="1"/>
  <c r="B49" i="1"/>
  <c r="B48" i="1"/>
  <c r="F15" i="1"/>
  <c r="C18" i="1"/>
  <c r="C19" i="1" s="1"/>
</calcChain>
</file>

<file path=xl/sharedStrings.xml><?xml version="1.0" encoding="utf-8"?>
<sst xmlns="http://schemas.openxmlformats.org/spreadsheetml/2006/main" count="118" uniqueCount="79">
  <si>
    <t>Customer</t>
  </si>
  <si>
    <t>Region</t>
  </si>
  <si>
    <t>Product</t>
  </si>
  <si>
    <t>Month</t>
  </si>
  <si>
    <t>Sales</t>
  </si>
  <si>
    <t>F</t>
  </si>
  <si>
    <t>Discount</t>
  </si>
  <si>
    <t>Profit</t>
  </si>
  <si>
    <t>Ravi</t>
  </si>
  <si>
    <t>West</t>
  </si>
  <si>
    <t>Laptop</t>
  </si>
  <si>
    <t>Jan</t>
  </si>
  <si>
    <t>Raman</t>
  </si>
  <si>
    <t>North</t>
  </si>
  <si>
    <t>Mobile</t>
  </si>
  <si>
    <t>Priya</t>
  </si>
  <si>
    <t>South</t>
  </si>
  <si>
    <t>Feb</t>
  </si>
  <si>
    <t>Aman</t>
  </si>
  <si>
    <t>East</t>
  </si>
  <si>
    <t>Neha</t>
  </si>
  <si>
    <t>Tablet</t>
  </si>
  <si>
    <t>Mar</t>
  </si>
  <si>
    <t>Karan</t>
  </si>
  <si>
    <t>Rahul</t>
  </si>
  <si>
    <t>Apr</t>
  </si>
  <si>
    <t>Simran</t>
  </si>
  <si>
    <t>Cell</t>
  </si>
  <si>
    <t>A — Details</t>
  </si>
  <si>
    <t>B — Value</t>
  </si>
  <si>
    <t>Original Price</t>
  </si>
  <si>
    <t>Cost</t>
  </si>
  <si>
    <t>Discount %</t>
  </si>
  <si>
    <t>Selling Price</t>
  </si>
  <si>
    <t>Sales (E)</t>
  </si>
  <si>
    <t>Profit (G)</t>
  </si>
  <si>
    <t>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</si>
  <si>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</si>
  <si>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</si>
  <si>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</si>
  <si>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</si>
  <si>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</si>
  <si>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</si>
  <si>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</si>
  <si>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</si>
  <si>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</si>
  <si>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</si>
  <si>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</si>
  <si>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</si>
  <si>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</si>
  <si>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</si>
  <si>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</si>
  <si>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</si>
  <si>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</si>
  <si>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</si>
  <si>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</si>
  <si>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</si>
  <si>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</si>
  <si>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</si>
  <si>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</si>
  <si>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discount</t>
  </si>
  <si>
    <t>Cell E</t>
  </si>
  <si>
    <t>Cell F</t>
  </si>
  <si>
    <t>Statistic</t>
  </si>
  <si>
    <t>Average</t>
  </si>
  <si>
    <t>Maximum</t>
  </si>
  <si>
    <t>minimun</t>
  </si>
  <si>
    <t>standard</t>
  </si>
  <si>
    <t>sales</t>
  </si>
  <si>
    <t xml:space="preserve">Month </t>
  </si>
  <si>
    <t>jan</t>
  </si>
  <si>
    <t>Total Sales</t>
  </si>
  <si>
    <t>Row Labels</t>
  </si>
  <si>
    <t>Grand Total</t>
  </si>
  <si>
    <t>Column Labels</t>
  </si>
  <si>
    <t>Sum of Sales</t>
  </si>
  <si>
    <t>Sales Dashboard KPIs</t>
  </si>
  <si>
    <t>Total Profit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</si>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</sst>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1" fillId="6" borderId="1" xfId="0" applyFont="1" applyFill="1" applyBorder="1"/>
    <xf numFmtId="0" fontId="1" fillId="2" borderId="1" xfId="0" applyFont="1" applyFill="1" applyBorder="1"/>
    <xf numFmtId="2" fontId="1" fillId="4" borderId="1" xfId="0" applyNumberFormat="1" applyFont="1" applyFill="1" applyBorder="1"/>
    <xf numFmtId="2" fontId="1" fillId="6" borderId="1" xfId="0" applyNumberFormat="1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Dashboard.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3648293963256"/>
          <c:y val="0.18097222222222226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Sheet1!$A$58:$A$61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Sheet1!$B$58:$B$61</c:f>
              <c:numCache>
                <c:formatCode>General</c:formatCode>
                <c:ptCount val="4"/>
                <c:pt idx="0">
                  <c:v>80000</c:v>
                </c:pt>
                <c:pt idx="1">
                  <c:v>80000</c:v>
                </c:pt>
                <c:pt idx="2">
                  <c:v>110000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4-4905-A2C0-097D620D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527152"/>
        <c:axId val="358522928"/>
      </c:barChart>
      <c:catAx>
        <c:axId val="3585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22928"/>
        <c:crosses val="autoZero"/>
        <c:auto val="1"/>
        <c:lblAlgn val="ctr"/>
        <c:lblOffset val="100"/>
        <c:noMultiLvlLbl val="0"/>
      </c:catAx>
      <c:valAx>
        <c:axId val="35852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2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 pr 2(AutoRecovered).xlsx]Sheet2!PivotTable1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Region-wise Product Sales Analysis</a:t>
            </a:r>
          </a:p>
          <a:p>
            <a:pPr>
              <a:defRPr/>
            </a:pPr>
            <a:endParaRPr lang="en-US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698"/>
          <c:y val="0.2590718868474774"/>
          <c:w val="0.72319685039370074"/>
          <c:h val="0.53269757946923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1">
                  <c:v>70000</c:v>
                </c:pt>
                <c:pt idx="2">
                  <c:v>60000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6-4B89-9D2E-6E6235CB316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20000</c:v>
                </c:pt>
                <c:pt idx="1">
                  <c:v>30000</c:v>
                </c:pt>
                <c:pt idx="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6-4B89-9D2E-6E6235CB316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35000</c:v>
                </c:pt>
                <c:pt idx="3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6-4B89-9D2E-6E6235CB3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83928"/>
        <c:axId val="596281112"/>
      </c:barChart>
      <c:catAx>
        <c:axId val="59628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81112"/>
        <c:crosses val="autoZero"/>
        <c:auto val="1"/>
        <c:lblAlgn val="ctr"/>
        <c:lblOffset val="100"/>
        <c:noMultiLvlLbl val="0"/>
      </c:catAx>
      <c:valAx>
        <c:axId val="59628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8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51</xdr:row>
      <xdr:rowOff>57150</xdr:rowOff>
    </xdr:from>
    <xdr:to>
      <xdr:col>8</xdr:col>
      <xdr:colOff>693420</xdr:colOff>
      <xdr:row>66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63719-1139-5D97-CCCD-8E9D92916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2</xdr:row>
      <xdr:rowOff>38100</xdr:rowOff>
    </xdr:from>
    <xdr:to>
      <xdr:col>13</xdr:col>
      <xdr:colOff>30480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5D7EB-285A-EE15-005A-EE607495E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</cdr:x>
      <cdr:y>0.01944</cdr:y>
    </cdr:from>
    <cdr:to>
      <cdr:x>0.64833</cdr:x>
      <cdr:y>0.10833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2B9849-9832-2EAC-1DDF-124CE17FBAB8}"/>
            </a:ext>
          </a:extLst>
        </cdr:cNvPr>
        <cdr:cNvSpPr txBox="1"/>
      </cdr:nvSpPr>
      <cdr:spPr>
        <a:xfrm xmlns:a="http://schemas.openxmlformats.org/drawingml/2006/main">
          <a:off x="1600200" y="53340"/>
          <a:ext cx="136398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23.73431284722" createdVersion="8" refreshedVersion="8" minRefreshableVersion="3" recordCount="8" xr:uid="{22A80A59-D6BC-4391-B345-90C281376C32}">
  <cacheSource type="worksheet">
    <worksheetSource ref="A1:G9" sheet="Sheet1"/>
  </cacheSource>
  <cacheFields count="7">
    <cacheField name="Custom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Product" numFmtId="0">
      <sharedItems count="3">
        <s v="Laptop"/>
        <s v="Tablet"/>
        <s v="Mobile"/>
      </sharedItems>
    </cacheField>
    <cacheField name="Month" numFmtId="0">
      <sharedItems/>
    </cacheField>
    <cacheField name="Sales" numFmtId="0">
      <sharedItems containsSemiMixedTypes="0" containsString="0" containsNumber="1" containsInteger="1" minValue="20000" maxValue="70000"/>
    </cacheField>
    <cacheField name="Discount" numFmtId="9">
      <sharedItems containsSemiMixedTypes="0" containsString="0" containsNumber="1" minValue="0.05" maxValue="0.15"/>
    </cacheField>
    <cacheField name="Profit" numFmtId="0">
      <sharedItems containsSemiMixedTypes="0" containsString="0" containsNumber="1" containsInteger="1" minValue="15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Karan"/>
    <x v="0"/>
    <x v="0"/>
    <s v="Mar"/>
    <n v="70000"/>
    <n v="0.05"/>
    <n v="12000"/>
  </r>
  <r>
    <s v="Priya"/>
    <x v="1"/>
    <x v="0"/>
    <s v="Feb"/>
    <n v="60000"/>
    <n v="0.05"/>
    <n v="10000"/>
  </r>
  <r>
    <s v="Ravi"/>
    <x v="2"/>
    <x v="0"/>
    <s v="Jan"/>
    <n v="50000"/>
    <n v="0.05"/>
    <n v="8000"/>
  </r>
  <r>
    <s v="Neha"/>
    <x v="2"/>
    <x v="1"/>
    <s v="Mar"/>
    <n v="40000"/>
    <n v="0.1"/>
    <n v="5000"/>
  </r>
  <r>
    <s v="Simran"/>
    <x v="3"/>
    <x v="1"/>
    <s v="Apr"/>
    <n v="35000"/>
    <n v="0.05"/>
    <n v="4500"/>
  </r>
  <r>
    <s v="Raman"/>
    <x v="0"/>
    <x v="2"/>
    <s v="Jan"/>
    <n v="30000"/>
    <n v="0.1"/>
    <n v="4000"/>
  </r>
  <r>
    <s v="Rahul"/>
    <x v="1"/>
    <x v="2"/>
    <s v="Apr"/>
    <n v="25000"/>
    <n v="0.1"/>
    <n v="3000"/>
  </r>
  <r>
    <s v="Aman"/>
    <x v="3"/>
    <x v="2"/>
    <s v="Feb"/>
    <n v="20000"/>
    <n v="0.15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9468C-5312-4241-9E0D-7E27CA2402D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9" firstHeaderRow="1" firstDataRow="2" firstDataCol="1"/>
  <pivotFields count="7"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showAll="0"/>
    <pivotField numFmtId="9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94C0-2225-4DAE-A772-60E87E2C3BB3}">
  <dimension ref="A1:M61"/>
  <sheetViews>
    <sheetView workbookViewId="0">
      <selection activeCell="B25" sqref="B25"/>
    </sheetView>
  </sheetViews>
  <sheetFormatPr defaultRowHeight="14.4" x14ac:dyDescent="0.3"/>
  <cols>
    <col min="1" max="1" width="9.109375" bestFit="1" customWidth="1"/>
    <col min="2" max="2" width="12.77734375" customWidth="1"/>
    <col min="3" max="3" width="11.77734375" customWidth="1"/>
    <col min="5" max="5" width="17.44140625" bestFit="1" customWidth="1"/>
    <col min="6" max="6" width="12.6640625" bestFit="1" customWidth="1"/>
    <col min="7" max="7" width="13.44140625" bestFit="1" customWidth="1"/>
    <col min="8" max="9" width="12" bestFit="1" customWidth="1"/>
    <col min="10" max="13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3">
      <c r="A2" t="s">
        <v>23</v>
      </c>
      <c r="B2" t="s">
        <v>13</v>
      </c>
      <c r="C2" t="s">
        <v>10</v>
      </c>
      <c r="D2" t="s">
        <v>22</v>
      </c>
      <c r="E2">
        <v>70000</v>
      </c>
      <c r="F2" s="1">
        <v>0.05</v>
      </c>
      <c r="G2">
        <v>12000</v>
      </c>
    </row>
    <row r="3" spans="1:7" x14ac:dyDescent="0.3">
      <c r="A3" t="s">
        <v>15</v>
      </c>
      <c r="B3" t="s">
        <v>16</v>
      </c>
      <c r="C3" t="s">
        <v>10</v>
      </c>
      <c r="D3" t="s">
        <v>17</v>
      </c>
      <c r="E3">
        <v>60000</v>
      </c>
      <c r="F3" s="1">
        <v>0.05</v>
      </c>
      <c r="G3">
        <v>10000</v>
      </c>
    </row>
    <row r="4" spans="1:7" x14ac:dyDescent="0.3">
      <c r="A4" t="s">
        <v>8</v>
      </c>
      <c r="B4" t="s">
        <v>9</v>
      </c>
      <c r="C4" t="s">
        <v>10</v>
      </c>
      <c r="D4" t="s">
        <v>11</v>
      </c>
      <c r="E4">
        <v>50000</v>
      </c>
      <c r="F4" s="1">
        <v>0.05</v>
      </c>
      <c r="G4">
        <v>8000</v>
      </c>
    </row>
    <row r="5" spans="1:7" x14ac:dyDescent="0.3">
      <c r="A5" t="s">
        <v>20</v>
      </c>
      <c r="B5" t="s">
        <v>9</v>
      </c>
      <c r="C5" t="s">
        <v>21</v>
      </c>
      <c r="D5" t="s">
        <v>22</v>
      </c>
      <c r="E5">
        <v>40000</v>
      </c>
      <c r="F5" s="1">
        <v>0.1</v>
      </c>
      <c r="G5">
        <v>5000</v>
      </c>
    </row>
    <row r="6" spans="1:7" x14ac:dyDescent="0.3">
      <c r="A6" t="s">
        <v>26</v>
      </c>
      <c r="B6" t="s">
        <v>19</v>
      </c>
      <c r="C6" t="s">
        <v>21</v>
      </c>
      <c r="D6" t="s">
        <v>25</v>
      </c>
      <c r="E6">
        <v>35000</v>
      </c>
      <c r="F6" s="1">
        <v>0.05</v>
      </c>
      <c r="G6">
        <v>4500</v>
      </c>
    </row>
    <row r="7" spans="1:7" x14ac:dyDescent="0.3">
      <c r="A7" t="s">
        <v>12</v>
      </c>
      <c r="B7" t="s">
        <v>13</v>
      </c>
      <c r="C7" t="s">
        <v>14</v>
      </c>
      <c r="D7" t="s">
        <v>11</v>
      </c>
      <c r="E7">
        <v>30000</v>
      </c>
      <c r="F7" s="1">
        <v>0.1</v>
      </c>
      <c r="G7">
        <v>4000</v>
      </c>
    </row>
    <row r="8" spans="1:7" x14ac:dyDescent="0.3">
      <c r="A8" t="s">
        <v>24</v>
      </c>
      <c r="B8" t="s">
        <v>16</v>
      </c>
      <c r="C8" t="s">
        <v>14</v>
      </c>
      <c r="D8" t="s">
        <v>25</v>
      </c>
      <c r="E8">
        <v>25000</v>
      </c>
      <c r="F8" s="1">
        <v>0.1</v>
      </c>
      <c r="G8">
        <v>3000</v>
      </c>
    </row>
    <row r="9" spans="1:7" x14ac:dyDescent="0.3">
      <c r="A9" t="s">
        <v>18</v>
      </c>
      <c r="B9" t="s">
        <v>19</v>
      </c>
      <c r="C9" t="s">
        <v>14</v>
      </c>
      <c r="D9" t="s">
        <v>17</v>
      </c>
      <c r="E9">
        <v>20000</v>
      </c>
      <c r="F9" s="1">
        <v>0.15</v>
      </c>
      <c r="G9">
        <v>1500</v>
      </c>
    </row>
    <row r="14" spans="1:7" x14ac:dyDescent="0.3">
      <c r="A14" s="5" t="s">
        <v>27</v>
      </c>
      <c r="B14" s="5" t="s">
        <v>28</v>
      </c>
      <c r="C14" s="5" t="s">
        <v>29</v>
      </c>
      <c r="E14" s="10" t="s">
        <v>60</v>
      </c>
      <c r="F14" s="10" t="s">
        <v>36</v>
      </c>
    </row>
    <row r="15" spans="1:7" x14ac:dyDescent="0.3">
      <c r="A15" s="3">
        <v>1</v>
      </c>
      <c r="B15" s="3" t="s">
        <v>30</v>
      </c>
      <c r="C15" s="3">
        <v>1000</v>
      </c>
      <c r="E15" s="1">
        <v>0.1</v>
      </c>
      <c r="F15">
        <f>C19</f>
        <v>300</v>
      </c>
    </row>
    <row r="16" spans="1:7" x14ac:dyDescent="0.3">
      <c r="A16" s="3">
        <v>2</v>
      </c>
      <c r="B16" s="3" t="s">
        <v>31</v>
      </c>
      <c r="C16" s="3">
        <v>600</v>
      </c>
      <c r="E16" s="1">
        <v>0.2</v>
      </c>
      <c r="F16" s="3">
        <v>200</v>
      </c>
    </row>
    <row r="17" spans="1:6" x14ac:dyDescent="0.3">
      <c r="A17" s="3">
        <v>3</v>
      </c>
      <c r="B17" s="3" t="s">
        <v>32</v>
      </c>
      <c r="C17" s="4">
        <v>0.1</v>
      </c>
      <c r="E17" s="1">
        <v>0.3</v>
      </c>
      <c r="F17">
        <v>100</v>
      </c>
    </row>
    <row r="18" spans="1:6" x14ac:dyDescent="0.3">
      <c r="A18" s="3">
        <v>4</v>
      </c>
      <c r="B18" s="3" t="s">
        <v>33</v>
      </c>
      <c r="C18" s="3">
        <f>C15*(1-C17)</f>
        <v>900</v>
      </c>
      <c r="E18" s="1">
        <v>0.4</v>
      </c>
      <c r="F18">
        <v>0</v>
      </c>
    </row>
    <row r="19" spans="1:6" x14ac:dyDescent="0.3">
      <c r="A19" s="3">
        <v>5</v>
      </c>
      <c r="B19" s="3" t="s">
        <v>7</v>
      </c>
      <c r="C19" s="3">
        <f>C18-C16</f>
        <v>300</v>
      </c>
    </row>
    <row r="21" spans="1:6" x14ac:dyDescent="0.3">
      <c r="A21" s="2"/>
      <c r="B21" s="2"/>
      <c r="C21" s="2"/>
    </row>
    <row r="22" spans="1:6" x14ac:dyDescent="0.3">
      <c r="A22" s="3"/>
      <c r="B22" s="3"/>
      <c r="C22" s="3"/>
    </row>
    <row r="23" spans="1:6" x14ac:dyDescent="0.3">
      <c r="A23" s="3"/>
      <c r="B23" s="3"/>
      <c r="C23" s="3"/>
    </row>
    <row r="24" spans="1:6" ht="28.8" x14ac:dyDescent="0.3">
      <c r="A24" s="9" t="s">
        <v>0</v>
      </c>
      <c r="B24" s="9" t="s">
        <v>34</v>
      </c>
      <c r="C24" s="9" t="s">
        <v>35</v>
      </c>
      <c r="E24" t="s">
        <v>37</v>
      </c>
    </row>
    <row r="25" spans="1:6" ht="15" thickBot="1" x14ac:dyDescent="0.35">
      <c r="A25" s="3" t="s">
        <v>8</v>
      </c>
      <c r="B25" s="3">
        <v>500</v>
      </c>
      <c r="C25" s="3">
        <v>100</v>
      </c>
    </row>
    <row r="26" spans="1:6" x14ac:dyDescent="0.3">
      <c r="A26" s="3" t="s">
        <v>12</v>
      </c>
      <c r="B26" s="3">
        <v>300</v>
      </c>
      <c r="C26" s="3">
        <v>50</v>
      </c>
      <c r="E26" s="8" t="s">
        <v>38</v>
      </c>
      <c r="F26" s="8"/>
    </row>
    <row r="27" spans="1:6" x14ac:dyDescent="0.3">
      <c r="A27" s="3" t="s">
        <v>15</v>
      </c>
      <c r="B27" s="3">
        <v>600</v>
      </c>
      <c r="C27" s="3">
        <v>150</v>
      </c>
      <c r="E27" t="s">
        <v>39</v>
      </c>
      <c r="F27">
        <v>0.98553627338532412</v>
      </c>
    </row>
    <row r="28" spans="1:6" x14ac:dyDescent="0.3">
      <c r="A28" s="3" t="s">
        <v>18</v>
      </c>
      <c r="B28" s="3">
        <v>200</v>
      </c>
      <c r="C28" s="3">
        <v>20</v>
      </c>
      <c r="E28" t="s">
        <v>40</v>
      </c>
      <c r="F28">
        <v>0.97128174615823226</v>
      </c>
    </row>
    <row r="29" spans="1:6" x14ac:dyDescent="0.3">
      <c r="A29" s="3" t="s">
        <v>20</v>
      </c>
      <c r="B29" s="3">
        <v>450</v>
      </c>
      <c r="C29" s="3">
        <v>90</v>
      </c>
      <c r="E29" t="s">
        <v>41</v>
      </c>
      <c r="F29">
        <v>0.96649537051793766</v>
      </c>
    </row>
    <row r="30" spans="1:6" x14ac:dyDescent="0.3">
      <c r="A30" s="3" t="s">
        <v>23</v>
      </c>
      <c r="B30" s="3">
        <v>700</v>
      </c>
      <c r="C30" s="3">
        <v>200</v>
      </c>
      <c r="E30" t="s">
        <v>42</v>
      </c>
      <c r="F30">
        <v>11.088283197144095</v>
      </c>
    </row>
    <row r="31" spans="1:6" ht="15" thickBot="1" x14ac:dyDescent="0.35">
      <c r="A31" s="3" t="s">
        <v>24</v>
      </c>
      <c r="B31" s="3">
        <v>250</v>
      </c>
      <c r="C31" s="3">
        <v>40</v>
      </c>
      <c r="E31" s="6" t="s">
        <v>43</v>
      </c>
      <c r="F31" s="6">
        <v>8</v>
      </c>
    </row>
    <row r="32" spans="1:6" x14ac:dyDescent="0.3">
      <c r="A32" s="3" t="s">
        <v>26</v>
      </c>
      <c r="B32" s="3">
        <v>350</v>
      </c>
      <c r="C32" s="3">
        <v>60</v>
      </c>
    </row>
    <row r="33" spans="1:13" ht="15" thickBot="1" x14ac:dyDescent="0.35">
      <c r="E33" t="s">
        <v>44</v>
      </c>
    </row>
    <row r="34" spans="1:13" x14ac:dyDescent="0.3">
      <c r="E34" s="7"/>
      <c r="F34" s="7" t="s">
        <v>49</v>
      </c>
      <c r="G34" s="7" t="s">
        <v>50</v>
      </c>
      <c r="H34" s="7" t="s">
        <v>51</v>
      </c>
      <c r="I34" s="7" t="s">
        <v>5</v>
      </c>
      <c r="J34" s="7" t="s">
        <v>52</v>
      </c>
    </row>
    <row r="35" spans="1:13" x14ac:dyDescent="0.3">
      <c r="E35" t="s">
        <v>45</v>
      </c>
      <c r="F35">
        <v>1</v>
      </c>
      <c r="G35">
        <v>24949.799854439592</v>
      </c>
      <c r="H35">
        <v>24949.799854439592</v>
      </c>
      <c r="I35">
        <v>202.92635161799504</v>
      </c>
      <c r="J35">
        <v>7.4826860289049608E-6</v>
      </c>
    </row>
    <row r="36" spans="1:13" x14ac:dyDescent="0.3">
      <c r="E36" t="s">
        <v>46</v>
      </c>
      <c r="F36">
        <v>6</v>
      </c>
      <c r="G36">
        <v>737.70014556040837</v>
      </c>
      <c r="H36">
        <v>122.95002426006806</v>
      </c>
    </row>
    <row r="37" spans="1:13" ht="15" thickBot="1" x14ac:dyDescent="0.35">
      <c r="E37" s="6" t="s">
        <v>47</v>
      </c>
      <c r="F37" s="6">
        <v>7</v>
      </c>
      <c r="G37" s="6">
        <v>25687.5</v>
      </c>
      <c r="H37" s="6"/>
      <c r="I37" s="6"/>
      <c r="J37" s="6"/>
    </row>
    <row r="38" spans="1:13" ht="15" thickBot="1" x14ac:dyDescent="0.35"/>
    <row r="39" spans="1:13" x14ac:dyDescent="0.3">
      <c r="E39" s="7"/>
      <c r="F39" s="7" t="s">
        <v>53</v>
      </c>
      <c r="G39" s="7" t="s">
        <v>42</v>
      </c>
      <c r="H39" s="7" t="s">
        <v>54</v>
      </c>
      <c r="I39" s="7" t="s">
        <v>55</v>
      </c>
      <c r="J39" s="7" t="s">
        <v>56</v>
      </c>
      <c r="K39" s="7" t="s">
        <v>57</v>
      </c>
      <c r="L39" s="7" t="s">
        <v>58</v>
      </c>
      <c r="M39" s="7" t="s">
        <v>59</v>
      </c>
    </row>
    <row r="40" spans="1:13" x14ac:dyDescent="0.3">
      <c r="E40" t="s">
        <v>48</v>
      </c>
      <c r="F40">
        <v>-54.002911208151374</v>
      </c>
      <c r="G40">
        <v>10.760639479291905</v>
      </c>
      <c r="H40">
        <v>-5.0185596601462379</v>
      </c>
      <c r="I40">
        <v>2.4074961143477906E-3</v>
      </c>
      <c r="J40">
        <v>-80.33324747592917</v>
      </c>
      <c r="K40">
        <v>-27.672574940373575</v>
      </c>
      <c r="L40">
        <v>-80.33324747592917</v>
      </c>
      <c r="M40">
        <v>-27.672574940373575</v>
      </c>
    </row>
    <row r="41" spans="1:13" ht="15" thickBot="1" x14ac:dyDescent="0.35">
      <c r="E41" s="6" t="s">
        <v>34</v>
      </c>
      <c r="F41" s="6">
        <v>0.34090247452692868</v>
      </c>
      <c r="G41" s="6">
        <v>2.3931004586974652E-2</v>
      </c>
      <c r="H41" s="6">
        <v>14.24522206278284</v>
      </c>
      <c r="I41" s="6">
        <v>7.4826860289049735E-6</v>
      </c>
      <c r="J41" s="6">
        <v>0.28234541579325578</v>
      </c>
      <c r="K41" s="6">
        <v>0.39945953326060157</v>
      </c>
      <c r="L41" s="6">
        <v>0.28234541579325578</v>
      </c>
      <c r="M41" s="6">
        <v>0.39945953326060157</v>
      </c>
    </row>
    <row r="46" spans="1:13" x14ac:dyDescent="0.3">
      <c r="A46" s="11" t="s">
        <v>61</v>
      </c>
      <c r="B46" s="11" t="s">
        <v>62</v>
      </c>
    </row>
    <row r="47" spans="1:13" x14ac:dyDescent="0.3">
      <c r="A47" t="s">
        <v>63</v>
      </c>
      <c r="B47" t="s">
        <v>68</v>
      </c>
    </row>
    <row r="48" spans="1:13" x14ac:dyDescent="0.3">
      <c r="A48" t="s">
        <v>64</v>
      </c>
      <c r="B48">
        <f>AVERAGE(B25:B32)</f>
        <v>418.75</v>
      </c>
    </row>
    <row r="49" spans="1:2" x14ac:dyDescent="0.3">
      <c r="A49" t="s">
        <v>66</v>
      </c>
      <c r="B49">
        <f>MIN(B25:B32)</f>
        <v>200</v>
      </c>
    </row>
    <row r="50" spans="1:2" x14ac:dyDescent="0.3">
      <c r="A50" t="s">
        <v>65</v>
      </c>
      <c r="B50">
        <f>MAX(B25:B32)</f>
        <v>700</v>
      </c>
    </row>
    <row r="51" spans="1:2" x14ac:dyDescent="0.3">
      <c r="A51" t="s">
        <v>67</v>
      </c>
      <c r="B51">
        <f>_xlfn.STDEV.S(B25:B32)</f>
        <v>175.12750457064948</v>
      </c>
    </row>
    <row r="56" spans="1:2" x14ac:dyDescent="0.3">
      <c r="A56" s="12" t="s">
        <v>61</v>
      </c>
      <c r="B56" s="12" t="s">
        <v>62</v>
      </c>
    </row>
    <row r="57" spans="1:2" x14ac:dyDescent="0.3">
      <c r="A57" t="s">
        <v>69</v>
      </c>
      <c r="B57" t="s">
        <v>71</v>
      </c>
    </row>
    <row r="58" spans="1:2" x14ac:dyDescent="0.3">
      <c r="A58" t="s">
        <v>70</v>
      </c>
      <c r="B58">
        <f>SUMIF($D$2:$D$9,A58,$E$2:$E$9)</f>
        <v>80000</v>
      </c>
    </row>
    <row r="59" spans="1:2" x14ac:dyDescent="0.3">
      <c r="A59" t="s">
        <v>17</v>
      </c>
      <c r="B59">
        <f>SUMIF($D$2:$D$9,A59,$E$2:$E$9)</f>
        <v>80000</v>
      </c>
    </row>
    <row r="60" spans="1:2" x14ac:dyDescent="0.3">
      <c r="A60" t="s">
        <v>22</v>
      </c>
      <c r="B60">
        <f>SUMIF($D$2:$D$9,A60,$E$2:$E$9)</f>
        <v>110000</v>
      </c>
    </row>
    <row r="61" spans="1:2" x14ac:dyDescent="0.3">
      <c r="A61" t="s">
        <v>25</v>
      </c>
      <c r="B61">
        <f>SUMIF($D$2:$D$9,A61,$E$2:$E$9)</f>
        <v>60000</v>
      </c>
    </row>
  </sheetData>
  <autoFilter ref="A1:G9" xr:uid="{51A494C0-2225-4DAE-A772-60E87E2C3BB3}"/>
  <sortState xmlns:xlrd2="http://schemas.microsoft.com/office/spreadsheetml/2017/richdata2" ref="A2:G9">
    <sortCondition descending="1" ref="E2:E9"/>
  </sortState>
  <conditionalFormatting sqref="E2:E9">
    <cfRule type="top10" dxfId="0" priority="3" rank="10"/>
    <cfRule type="cellIs" dxfId="1" priority="1" operator="greaterThan">
      <formula>50000</formula>
    </cfRule>
  </conditionalFormatting>
  <conditionalFormatting sqref="E10:E13">
    <cfRule type="top10" dxfId="4" priority="4" rank="10"/>
  </conditionalFormatting>
  <conditionalFormatting sqref="E15:E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{2ECEA8FE-328A-4CAF-A0C6-CCF3C12E3ADD}</x14:id>
        </ext>
      </extLst>
    </cfRule>
  </conditionalFormatting>
  <dataValidations count="1">
    <dataValidation type="decimal" allowBlank="1" showInputMessage="1" showErrorMessage="1" sqref="F2:F9" xr:uid="{FC778572-BFD8-40F0-AC8B-EDE1C528B5F4}">
      <formula1>0</formula1>
      <formula2>0.3</formula2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CEA8FE-328A-4CAF-A0C6-CCF3C12E3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E15:E22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DA81-9907-4588-A49C-3E0079E3B7F9}">
  <dimension ref="A3:E28"/>
  <sheetViews>
    <sheetView tabSelected="1" topLeftCell="A5" workbookViewId="0">
      <selection activeCell="D23" sqref="D23"/>
    </sheetView>
  </sheetViews>
  <sheetFormatPr defaultRowHeight="14.4" x14ac:dyDescent="0.3"/>
  <cols>
    <col min="1" max="1" width="18.33203125" bestFit="1" customWidth="1"/>
    <col min="2" max="2" width="15.5546875" bestFit="1" customWidth="1"/>
    <col min="3" max="3" width="6.88671875" bestFit="1" customWidth="1"/>
    <col min="4" max="4" width="6.21875" bestFit="1" customWidth="1"/>
    <col min="5" max="5" width="10.77734375" bestFit="1" customWidth="1"/>
  </cols>
  <sheetData>
    <row r="3" spans="1:5" x14ac:dyDescent="0.3">
      <c r="A3" s="13" t="s">
        <v>75</v>
      </c>
      <c r="B3" s="13" t="s">
        <v>74</v>
      </c>
    </row>
    <row r="4" spans="1:5" x14ac:dyDescent="0.3">
      <c r="A4" s="13" t="s">
        <v>72</v>
      </c>
      <c r="B4" t="s">
        <v>10</v>
      </c>
      <c r="C4" t="s">
        <v>14</v>
      </c>
      <c r="D4" t="s">
        <v>21</v>
      </c>
      <c r="E4" t="s">
        <v>73</v>
      </c>
    </row>
    <row r="5" spans="1:5" x14ac:dyDescent="0.3">
      <c r="A5" s="14" t="s">
        <v>19</v>
      </c>
      <c r="B5" s="15"/>
      <c r="C5" s="15">
        <v>20000</v>
      </c>
      <c r="D5" s="15">
        <v>35000</v>
      </c>
      <c r="E5" s="15">
        <v>55000</v>
      </c>
    </row>
    <row r="6" spans="1:5" x14ac:dyDescent="0.3">
      <c r="A6" s="14" t="s">
        <v>13</v>
      </c>
      <c r="B6" s="15">
        <v>70000</v>
      </c>
      <c r="C6" s="15">
        <v>30000</v>
      </c>
      <c r="D6" s="15"/>
      <c r="E6" s="15">
        <v>100000</v>
      </c>
    </row>
    <row r="7" spans="1:5" x14ac:dyDescent="0.3">
      <c r="A7" s="14" t="s">
        <v>16</v>
      </c>
      <c r="B7" s="15">
        <v>60000</v>
      </c>
      <c r="C7" s="15">
        <v>25000</v>
      </c>
      <c r="D7" s="15"/>
      <c r="E7" s="15">
        <v>85000</v>
      </c>
    </row>
    <row r="8" spans="1:5" x14ac:dyDescent="0.3">
      <c r="A8" s="14" t="s">
        <v>9</v>
      </c>
      <c r="B8" s="15">
        <v>50000</v>
      </c>
      <c r="C8" s="15"/>
      <c r="D8" s="15">
        <v>40000</v>
      </c>
      <c r="E8" s="15">
        <v>90000</v>
      </c>
    </row>
    <row r="9" spans="1:5" x14ac:dyDescent="0.3">
      <c r="A9" s="14" t="s">
        <v>73</v>
      </c>
      <c r="B9" s="15">
        <v>180000</v>
      </c>
      <c r="C9" s="15">
        <v>75000</v>
      </c>
      <c r="D9" s="15">
        <v>75000</v>
      </c>
      <c r="E9" s="15">
        <v>330000</v>
      </c>
    </row>
    <row r="22" spans="1:2" x14ac:dyDescent="0.3">
      <c r="A22" s="16" t="s">
        <v>76</v>
      </c>
      <c r="B22" s="16"/>
    </row>
    <row r="23" spans="1:2" ht="30" customHeight="1" x14ac:dyDescent="0.3">
      <c r="A23" s="11" t="s">
        <v>71</v>
      </c>
      <c r="B23" s="19">
        <f>SUM(Sheet1!E2:E9)</f>
        <v>330000</v>
      </c>
    </row>
    <row r="24" spans="1:2" ht="30" customHeight="1" x14ac:dyDescent="0.3">
      <c r="A24" s="17" t="s">
        <v>77</v>
      </c>
      <c r="B24" s="20">
        <f>SUM(Sheet1!G2:G9)</f>
        <v>48000</v>
      </c>
    </row>
    <row r="25" spans="1:2" ht="30" customHeight="1" x14ac:dyDescent="0.3">
      <c r="A25" s="18" t="s">
        <v>78</v>
      </c>
      <c r="B25" s="21">
        <f>AVERAGE(Sheet1!E2:E9)</f>
        <v>41250</v>
      </c>
    </row>
    <row r="26" spans="1:2" x14ac:dyDescent="0.3">
      <c r="A26">
        <f>SUM(E2:E9)</f>
        <v>660000</v>
      </c>
    </row>
    <row r="27" spans="1:2" x14ac:dyDescent="0.3">
      <c r="A27">
        <f>SUM(G2:G9)</f>
        <v>0</v>
      </c>
    </row>
    <row r="28" spans="1:2" x14ac:dyDescent="0.3">
      <c r="A28">
        <f>AVERAGE(E2:E9)</f>
        <v>132000</v>
      </c>
    </row>
  </sheetData>
  <mergeCells count="1">
    <mergeCell ref="A22:B2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8BA8-5BA8-4EF8-A1EB-66800C4BBE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2026-10-27T13:32:01Z</dcterms:created>
  <dcterms:modified xsi:type="dcterms:W3CDTF">2026-10-28T12:47:30Z</dcterms:modified>
</cp:coreProperties>
</file>